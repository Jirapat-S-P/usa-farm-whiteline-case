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เกณฑ์และอ้างอิง" sheetId="1" r:id="rId4"/>
    <sheet state="hidden" name="ข้าวโพดหมัก (ตาชั่งหยาบ)" sheetId="2" r:id="rId5"/>
    <sheet state="visible" name="TMR 1" sheetId="3" r:id="rId6"/>
    <sheet state="hidden" name="ตัวอย่างการกรอก" sheetId="4" r:id="rId7"/>
  </sheets>
  <definedNames/>
  <calcPr/>
  <extLst>
    <ext uri="GoogleSheetsCustomDataVersion2">
      <go:sheetsCustomData xmlns:go="http://customooxmlschemas.google.com/" r:id="rId8" roundtripDataChecksum="eB0iJYDJHFY2HBb1Xl07flTFQgED/Q/JtPKGHe/jHg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6">
      <text>
        <t xml:space="preserve">======
ID#AAACF6gVnD4
Unknown Author    (2026-08-25 06:13:42)
อยู่ในช่วงมาตรฐาน = ดี (Good)
หลุดออกนอกช่วงไม่เกินค่านี้ = พอใช้ (Fair)
หลุดออกนอกช่วงเกินค่านี้ = ไม่ดี (Bad)
ค่าเริ่มต้น 2 จุดเปอร์เซ็นต์ ปรับได้ตามที่อาจารย์กำหนด</t>
      </text>
    </comment>
    <comment authorId="0" ref="B8">
      <text>
        <t xml:space="preserve">======
ID#AAACF6gVnEo
Unknown Author    (2026-08-25 06:13:42)
กรอกน้ำหนักตัวอย่างก่อนร่อน (แนะนำอย่างน้อย 500 g ตามคู่มือ PSPS)</t>
      </text>
    </comment>
    <comment authorId="0" ref="A6">
      <text>
        <t xml:space="preserve">======
ID#AAACF6gVnEI
Unknown Author    (2026-08-25 06:13:42)
ขีดจำกัดล่าง/บนใช้สำหรับสูตรแปลผลอัตโนมัติ แก้ไขได้หากอาจารย์กำหนดเกณฑ์อื่น
ที่มา: Penn State Particle Separator (Heinrichs &amp; Kononoff), Penn State Extension</t>
      </text>
    </comment>
  </commentList>
  <extLst>
    <ext uri="GoogleSheetsCustomDataVersion2">
      <go:sheetsCustomData xmlns:go="http://customooxmlschemas.google.com/" r:id="rId1" roundtripDataSignature="AMtx7mjiTOEPUEydATjDuuNaiYKUfh/Ao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6">
      <text>
        <t xml:space="preserve">======
ID#AAACF6gVnEY
Unknown Author    (2026-08-25 06:13:42)
อยู่ในช่วงมาตรฐาน = ดี (Good)
หลุดออกนอกช่วงไม่เกินค่านี้ = พอใช้ (Fair)
หลุดออกนอกช่วงเกินค่านี้ = ไม่ดี (Bad)
ค่าเริ่มต้น 2 จุดเปอร์เซ็นต์ ปรับได้ตามที่อาจารย์กำหนด</t>
      </text>
    </comment>
    <comment authorId="0" ref="B8">
      <text>
        <t xml:space="preserve">======
ID#AAACF6gVnD0
Unknown Author    (2026-08-25 06:13:42)
กรอกน้ำหนักตัวอย่างก่อนร่อน (แนะนำอย่างน้อย 500 g ตามคู่มือ PSPS)</t>
      </text>
    </comment>
    <comment authorId="0" ref="A6">
      <text>
        <t xml:space="preserve">======
ID#AAACF6gVnEk
Unknown Author    (2026-08-25 06:13:42)
ขีดจำกัดล่าง/บนใช้สำหรับสูตรแปลผลอัตโนมัติ แก้ไขได้หากอาจารย์กำหนดเกณฑ์อื่น
ที่มา: Penn State Particle Separator (Heinrichs &amp; Kononoff), Penn State Extension</t>
      </text>
    </comment>
  </commentList>
  <extLst>
    <ext uri="GoogleSheetsCustomDataVersion2">
      <go:sheetsCustomData xmlns:go="http://customooxmlschemas.google.com/" r:id="rId1" roundtripDataSignature="AMtx7mh9oxrPjswFWfFr8KPRfW3sI2PGtA=="/>
    </ext>
  </extLst>
</comments>
</file>

<file path=xl/sharedStrings.xml><?xml version="1.0" encoding="utf-8"?>
<sst xmlns="http://schemas.openxmlformats.org/spreadsheetml/2006/main" count="200" uniqueCount="123">
  <si>
    <t>เกณฑ์มาตรฐานและเอกสารอ้างอิง – การประเมินขนาดอนุภาคอาหารหยาบด้วย PSPS</t>
  </si>
  <si>
    <t>แบบบันทึกผล PSPS – อาหารผสมครบส่วน (TMR)  /  Total Mixed Ration</t>
  </si>
  <si>
    <t>แบบบันทึกผล PSPS – ข้าวโพดหมัก  /  Corn silage</t>
  </si>
  <si>
    <t>ตัวอย่างการกรอกและการแปลผล (ข้อมูลข้าวโพดหมักจากแบบฝึกหัดเดิม – ใช้ตรวจสอบว่าสูตรทำงานถูกต้อง)</t>
  </si>
  <si>
    <t>1. เกณฑ์มาตรฐานการกระจายขนาดอนุภาค (Penn State Particle Separator, ตะแกรง 4 ชั้น)</t>
  </si>
  <si>
    <t>ชนิดอาหาร</t>
  </si>
  <si>
    <t>อ้างอิงเกณฑ์กลุ่ม Corn silage ของ Penn State Particle Separator (เกณฑ์ชุดเดียวกับที่ใช้ในแบบฝึกหัดเดิม)</t>
  </si>
  <si>
    <t>อ้างอิงเกณฑ์กลุ่ม TMR ของ Penn State Particle Separator (เกณฑ์ชุดเดียวกับที่ใช้ในแบบฝึกหัดเดิม)</t>
  </si>
  <si>
    <t>PSPS (ข้าวโพดหมัก)</t>
  </si>
  <si>
    <t>ชั้นบน &gt; 19 มม.</t>
  </si>
  <si>
    <t>ชั้นกลาง &gt; 8 มม.</t>
  </si>
  <si>
    <t>ชั้นล่าง &gt; 4 มม.</t>
  </si>
  <si>
    <t>ถาดล่าง &lt; 4 มม.</t>
  </si>
  <si>
    <t>ใช้กับสิ่งใดในแบบฟอร์มนี้</t>
  </si>
  <si>
    <t>ข้าวโพดหมัก (Corn silage)</t>
  </si>
  <si>
    <t>ชั้นบน
Upper</t>
  </si>
  <si>
    <t>ชั้นกลาง
Middle</t>
  </si>
  <si>
    <t>ชั้นล่าง
Lower</t>
  </si>
  <si>
    <t>ถาดล่าง
Bottom pan</t>
  </si>
  <si>
    <t>3-8 %</t>
  </si>
  <si>
    <t>ขนาดรูตะแกรง</t>
  </si>
  <si>
    <t>&gt; 19 มม.</t>
  </si>
  <si>
    <t>&gt; 8 มม.</t>
  </si>
  <si>
    <t>&gt; 4 มม.</t>
  </si>
  <si>
    <t>&lt; 4 มม.</t>
  </si>
  <si>
    <t>เกณฑ์มาตรฐาน (%)</t>
  </si>
  <si>
    <t>45-65 %</t>
  </si>
  <si>
    <t>20-30 %</t>
  </si>
  <si>
    <t>&lt; 10 %</t>
  </si>
  <si>
    <t>ใช้กับแผ่นงาน 4) ข้าวโพดหมัก</t>
  </si>
  <si>
    <t>ขีดจำกัดล่าง (%)</t>
  </si>
  <si>
    <t>หญ้าแห้ง / หญ้าหมัก (Hay / Haylage)</t>
  </si>
  <si>
    <t>ขีดจำกัดบน (%)</t>
  </si>
  <si>
    <t>10-20 %</t>
  </si>
  <si>
    <t>45-75 %</t>
  </si>
  <si>
    <t>PSPS</t>
  </si>
  <si>
    <t>30-40 %</t>
  </si>
  <si>
    <t>ใช้กับ หญ้าสด, หญ้าแห้ง, ฟางข้าว</t>
  </si>
  <si>
    <t>น้ำหนักตัวอย่างเริ่มต้น (g)</t>
  </si>
  <si>
    <t>อาหารผสมครบส่วน (TMR)</t>
  </si>
  <si>
    <t>2-8 %</t>
  </si>
  <si>
    <t>30-50 %</t>
  </si>
  <si>
    <t>ใช้กับแผ่นงาน 5) TMR</t>
  </si>
  <si>
    <t>หมายเหตุสำคัญ: PSPS มีเกณฑ์มาตรฐานที่ตีพิมพ์เพียง 3 ชุดข้างต้นเท่านั้น ไม่มีเกณฑ์เฉพาะสำหรับหญ้าสดเขตร้อนและฟางข้าว ในทางปฏิบัติจึงใช้เกณฑ์กลุ่ม Hay/Haylage เป็นตัวเทียบ และประเมินร่วมกับเกณฑ์เสริม (ความยาวสับ และค่า pef) ที่ระบุไว้ในแต่ละแผ่นงาน</t>
  </si>
  <si>
    <t>รวม (g)</t>
  </si>
  <si>
    <t>2. ค่าความเป็นเยื่อใยเชิงกายภาพ (pef) และ peNDF</t>
  </si>
  <si>
    <t>•  pef&gt;8  = (% ชั้นบน + % ชั้นกลาง) / 100        →  peNDF&gt;8  = pef&gt;8 × %NDF ของอาหาร</t>
  </si>
  <si>
    <t>•  pef&gt;4  = (% ชั้นบน + % ชั้นกลาง + % ชั้นล่าง) / 100   →  peNDF&gt;4 = pef&gt;4 × %NDF ของอาหาร</t>
  </si>
  <si>
    <t>ผู้ทดสอบ</t>
  </si>
  <si>
    <t>•  เกณฑ์ระดับสูตรอาหาร (ทั้งสูตร ไม่ใช่รายวัตถุดิบ): peNDF&gt;8 ขั้นต่ำ 18.5 % ของวัตถุแห้ง เพื่อรักษา pH ในกระเพาะรูเมนประมาณ 6.2 และลดความเสี่ยง SARA</t>
  </si>
  <si>
    <t>น้ำหนักที่ค้าง (g)</t>
  </si>
  <si>
    <t>•  ถ้า peNDF&gt;8 เกิน ~14.9 % ของวัตถุแห้ง อาจเริ่มกดปริมาณการกินได้ในโคให้นมสูง จึงต้องสมดุลกัน</t>
  </si>
  <si>
    <t>•  ที่มา: Zebeli et al. (2012) J. Dairy Sci. 95:1041-1056</t>
  </si>
  <si>
    <t>3. วิธีปฏิบัติ (PSPS procedure)</t>
  </si>
  <si>
    <t>1.  เก็บตัวอย่างอย่างน้อย 500 กรัม (ชั่งน้ำหนักเริ่มต้นแล้วบันทึกลงแถว "น้ำหนักตัวอย่างเริ่มต้น")</t>
  </si>
  <si>
    <t>ติณห์</t>
  </si>
  <si>
    <t>2.  วางตะแกรงเรียงจากรูใหญ่ไปเล็ก: 19 มม. → 8 มม. → 4 มม. → ถาดล่าง</t>
  </si>
  <si>
    <t>3.  เขย่าไป-กลับในแนวราบ 5 ครั้ง แล้วหมุนกล่อง 1/4 รอบ ทำซ้ำจนครบ 8 ชุด (รวม 40 ครั้ง)</t>
  </si>
  <si>
    <t>4.  เขย่าแรงพอที่อาหารจะเคลื่อนผ่านรูตะแกรงไป-กลับได้ และใช้แรงเท่ากันทุกตัวอย่าง</t>
  </si>
  <si>
    <t>5.  ชั่งน้ำหนักที่ค้างแต่ละชั้น บันทึกลงตาราง แล้วตรวจ % เก็บกลับคืนให้อยู่ในช่วง 97-103 %</t>
  </si>
  <si>
    <t>6.  ทำซ้ำอย่างน้อย 3 ซ้ำต่อ 1 ตัวอย่างอาหาร แล้วใช้ค่าเฉลี่ยในการแปลผล</t>
  </si>
  <si>
    <t>4. หลักการแปลผลที่ใช้ในแบบฟอร์มนี้</t>
  </si>
  <si>
    <t>ดี (Good)</t>
  </si>
  <si>
    <t>ค่าเปอร์เซ็นต์อยู่ในช่วงมาตรฐาน</t>
  </si>
  <si>
    <t>อาตี้</t>
  </si>
  <si>
    <t>พอใช้ (Fair)</t>
  </si>
  <si>
    <t>หลุดออกนอกช่วงมาตรฐานไม่เกินค่าความคลาดเคลื่อนที่ตั้งไว้ (ค่าเริ่มต้น 2 จุดเปอร์เซ็นต์)</t>
  </si>
  <si>
    <t>กาว</t>
  </si>
  <si>
    <t>ไม่ดี (Bad)</t>
  </si>
  <si>
    <t>ตัวอย่างที่ / ผู้ทดสอบ</t>
  </si>
  <si>
    <t>หลุดออกนอกช่วงมาตรฐานเกินค่าความคลาดเคลื่อนที่ตั้งไว้</t>
  </si>
  <si>
    <t>ปรับค่าความคลาดเคลื่อนได้ที่ช่องสีเหลืองท้ายแต่ละแผ่นงาน (ค่าเริ่มต้น 2 จุดเปอร์เซ็นต์ เลือกให้ผลการแปลตรงกับตัวอย่างในแผ่นงาน "ตัวอย่างการกรอก")</t>
  </si>
  <si>
    <t>เอิ๊ก</t>
  </si>
  <si>
    <t>% เก็บกลับคืน
(recovery)</t>
  </si>
  <si>
    <t>5. เอกสารอ้างอิง</t>
  </si>
  <si>
    <t>1. ลีโอ</t>
  </si>
  <si>
    <t>[1]  Heinrichs, A.J. &amp; Kononoff, P. Penn State Particle Separator – recommended particle size distribution for corn silage, haylage and TMR. Penn State Extension.</t>
  </si>
  <si>
    <t>ซี</t>
  </si>
  <si>
    <t>https://extension.psu.edu/penn-state-particle-separator</t>
  </si>
  <si>
    <t>แพรว</t>
  </si>
  <si>
    <t>ตาม</t>
  </si>
  <si>
    <t>1 ลีโอ</t>
  </si>
  <si>
    <t>นายน้อย</t>
  </si>
  <si>
    <t>เชียร์</t>
  </si>
  <si>
    <t>ค่าเฉลี่ย (g)</t>
  </si>
  <si>
    <t>[2]  Penn State Extension. Penn State Particle Size Separator (PSPS) – procedure (ตัวอย่าง ≥ 500 g, เขย่า 8 ชุด ชุดละ 5 ครั้ง).</t>
  </si>
  <si>
    <t>https://extension.psu.edu/penn-state-particle-size-separator-psps</t>
  </si>
  <si>
    <t>เปอร์เซ็นต์ (%)</t>
  </si>
  <si>
    <t>[3]  Kononoff, P.J., Heinrichs, A.J. &amp; Buckmaster, D.R. (2003). Modification of the Penn State forage and TMR particle separator and the effects of moisture content on its measurements. J. Dairy Sci. 86:1858-1863.</t>
  </si>
  <si>
    <t>https://www.sciencedirect.com/science/article/pii/S0022030203737734</t>
  </si>
  <si>
    <t>[4]  Zebeli, Q. et al. (2012). Invited review: Role of physically effective fiber and estimation of dietary fiber adequacy in high-producing dairy cattle. J. Dairy Sci. 95:1041-1056.</t>
  </si>
  <si>
    <t>แปลผล</t>
  </si>
  <si>
    <t>https://www.journalofdairyscience.org/article/S0022-0302(12)00063-X/fulltext</t>
  </si>
  <si>
    <t>[5]  Haselmann, A. et al. / Penn State Extension. Straw particle size and sorting behaviour in dairy TMR (แนวปฏิบัติความยาวสับฟาง 2.5-5 ซม.).</t>
  </si>
  <si>
    <t>https://www.sciencedirect.com/science/article/pii/S0022030218303783</t>
  </si>
  <si>
    <t>เปอร์เซ็นต์ (%)  [ฐาน = น้ำหนักเริ่มต้น]</t>
  </si>
  <si>
    <t>pef&gt;8 (%) = ชั้นบน + ชั้นกลาง</t>
  </si>
  <si>
    <t>← ผลรวม = % เก็บกลับคืนเฉลี่ย (ควร 97-103 %)</t>
  </si>
  <si>
    <t>แปลผล (Interpretation)</t>
  </si>
  <si>
    <t>ค่าความคลาดเคลื่อนที่ยอมรับให้เป็น "พอใช้" (จุดเปอร์เซ็นต์)</t>
  </si>
  <si>
    <t>ผลที่สูตรคำนวณได้: ชั้นบน 3.9 % = ดี | ชั้นกลาง 70.0 % = ไม่ดี | ชั้นล่าง 13.0 % = ไม่ดี | ถาดล่าง 11.9 % = พอใช้ | ผลรวม (% เก็บกลับคืน) = 98.8 % | pef&gt;8 = 73.9 %</t>
  </si>
  <si>
    <t>ข้อสังเกต: แบบฝึกหัดเดิมแปลชั้นกลางว่า "Good" แต่ค่า 70.0 % สูงกว่าเกณฑ์ 45-65 % อยู่ 5 จุดเปอร์เซ็นต์ จึงควรเป็น "ไม่ดี (Bad)" — สูตรในไฟล์นี้ยึดตามเกณฑ์ตัวเลข หากอาจารย์ใช้เกณฑ์ผ่อนปรนกว่านี้ ให้ปรับค่าความคลาดเคลื่อนในช่องสีเหลืองด้านบน</t>
  </si>
  <si>
    <t>ค่าความเป็นเยื่อใยเชิงกายภาพ pef&gt;8 (%)  = ชั้นบน + ชั้นกลาง</t>
  </si>
  <si>
    <t>ใช้คูณกับ %NDF ของอาหาร → peNDF&gt;8</t>
  </si>
  <si>
    <t>ค่าความเป็นเยื่อใยเชิงกายภาพ pef&gt;4 (%)  = ชั้นบน + ชั้นกลาง + ชั้นล่าง</t>
  </si>
  <si>
    <t>หมายเหตุ / เกณฑ์เสริมสำหรับอาหารหยาบชนิดนี้</t>
  </si>
  <si>
    <t>•  เกณฑ์เสริม: ความยาวสับตามทฤษฎี (TLC) 9.5-19 มม. สำหรับเครื่องสับทั่วไป ถ้าใช้ระบบ shredlage/kernel processing จะยาวกว่านี้ได้</t>
  </si>
  <si>
    <t>•  เกณฑ์เสริม: ถ้าใช้ข้าวโพดหมักเป็นอาหารหยาบชนิดเดียวในสูตร ชั้นบน (&gt; 19 มม.) ควรอย่างน้อย 8 %</t>
  </si>
  <si>
    <t>•  เกณฑ์เสริม: ถาดล่าง (&lt; 4 มม.) ที่สูงกว่า 10 % แสดงว่าสับละเอียดเกินไป ลดการเคี้ยวเอื้องและเสี่ยงต่อภาวะกรดในกระเพาะรูเมน</t>
  </si>
  <si>
    <t>•  ข้อควรระวัง: ข้าวโพดหมักมีความชื้นสูง (DM 30-38 %) อนุภาคเปียกจะเกาะติดตะแกรง ทำให้ % ชั้นบนสูงเกินจริง ควรบันทึก %DM ของตัวอย่างไว้ประกอบการแปลผลเสมอ</t>
  </si>
  <si>
    <t>•  ข้อควรระวัง: ตรวจการแตกของเมล็ด (kernel processing score) แยกต่างหาก เพราะ PSPS วัดเฉพาะขนาดอนุภาครวม ไม่ได้บอกว่าเมล็ดถูกบดแตกดีหรือไม่</t>
  </si>
  <si>
    <t>วิธีใช้ตาราง</t>
  </si>
  <si>
    <t>•  ช่องพื้นสีเหลือง ตัวอักษรสีน้ำเงิน = ช่องที่ต้องกรอกเอง (น้ำหนักตัวอย่างเริ่มต้น และน้ำหนักที่ค้างแต่ละชั้น)</t>
  </si>
  <si>
    <t>•  ช่องอื่นเป็นสูตรคำนวณอัตโนมัติ ไม่ต้องแก้ไข</t>
  </si>
  <si>
    <t>•  % เก็บกลับคืน (recovery) ควรอยู่ในช่วง 97-103 % ถ้าต่ำ/สูงกว่านี้แปลว่าชั่งผิดหรือมีตัวอย่างหล่นหาย</t>
  </si>
  <si>
    <t>•  เปอร์เซ็นต์แต่ละชั้นคำนวณจากน้ำหนักตัวอย่างเริ่มต้น (เหมือนแบบฟอร์มเดิม) ผลรวมจึงไม่เท่ากับ 100 พอดี และผลรวมนั้นคือ % เก็บกลับคืน</t>
  </si>
  <si>
    <t>•  กรอกน้ำหนักเริ่มต้นที่ช่อง B เท่านั้น ช่อง C-E จะอ้างอิงตามอัตโนมัติ</t>
  </si>
  <si>
    <t>•  แถวที่ไม่ได้กรอกจะถูกข้ามในการหาค่าเฉลี่ยโดยอัตโนมัติ</t>
  </si>
  <si>
    <t>•  เกณฑ์เสริม: peNDF&gt;8 ของสูตรรวมควร ≥ 18.5 % ของวัตถุแห้ง เพื่อรักษา pH รูเมน ~6.2 (คำนวณจาก pef&gt;8 × %NDF ของ TMR)</t>
  </si>
  <si>
    <t>•  เกณฑ์เสริม: ถาดล่าง (&lt; 4 มม.) ที่สูงกว่า 40 % บ่งชี้ว่าผสมนานเกินไปหรืออาหารข้นสัดส่วนมากเกิน เสี่ยงต่อภาวะกรดในกระเพาะรูเมน (SARA)</t>
  </si>
  <si>
    <t>•  เกณฑ์เสริม: ชั้นบน (&gt; 19 มม.) ที่สูงกว่า 8 % ทำให้โคคัดกิน (sorting) เลือกกินส่วนละเอียด ทิ้งเยื่อใยหยาบไว้ในราง</t>
  </si>
  <si>
    <t>•  การตรวจ sorting: ร่อน TMR ที่ให้ตอนเช้า และร่อนอาหารเหลือ (orts) หลัง 24 ชม. แล้วเทียบ % แต่ละชั้น — ค่า 100 % = ไม่คัดกิน, &gt; 100 % = เลือกกินชั้นนั้น, &lt; 100 % = คัดทิ้งชั้นนั้น</t>
  </si>
  <si>
    <t>•  ข้อควรระวัง: เก็บตัวอย่างจากรางอาหารอย่างน้อย 3-5 จุด (ต้นราง กลางราง ท้ายราง) เพราะการผสมไม่สม่ำเสมอทำให้ผลต่างกันมาก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</si>
</sst>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0">
    <font>
      <sz val="11.0"/>
      <color theme="1"/>
      <name val="Calibri"/>
      <scheme val="minor"/>
    </font>
    <font>
      <b/>
      <sz val="15.0"/>
      <color theme="1"/>
      <name val="Tahoma"/>
    </font>
    <font>
      <b/>
      <sz val="14.0"/>
      <color theme="1"/>
      <name val="Tahoma"/>
    </font>
    <font>
      <b/>
      <sz val="10.0"/>
      <color theme="1"/>
      <name val="Tahoma"/>
    </font>
    <font>
      <sz val="10.0"/>
      <color theme="1"/>
      <name val="Tahoma"/>
    </font>
    <font>
      <sz val="9.0"/>
      <color rgb="FF404040"/>
      <name val="Tahoma"/>
    </font>
    <font>
      <sz val="9.0"/>
      <color rgb="FF808080"/>
      <name val="Tahoma"/>
    </font>
    <font>
      <sz val="10.0"/>
      <color rgb="FF0000FF"/>
      <name val="Tahoma"/>
    </font>
    <font>
      <u/>
      <sz val="9.0"/>
      <color rgb="FF0563C1"/>
      <name val="Tahoma"/>
    </font>
    <font/>
  </fonts>
  <fills count="9">
    <fill>
      <patternFill patternType="none"/>
    </fill>
    <fill>
      <patternFill patternType="lightGray"/>
    </fill>
    <fill>
      <patternFill patternType="solid">
        <fgColor rgb="FFEDEDED"/>
        <bgColor rgb="FFEDEDED"/>
      </patternFill>
    </fill>
    <fill>
      <patternFill patternType="solid">
        <fgColor rgb="FFC6EFCE"/>
        <bgColor rgb="FFC6EFCE"/>
      </patternFill>
    </fill>
    <fill>
      <patternFill patternType="solid">
        <fgColor rgb="FFFCE4D6"/>
        <bgColor rgb="FFFCE4D6"/>
      </patternFill>
    </fill>
    <fill>
      <patternFill patternType="solid">
        <fgColor rgb="FFF2DCDB"/>
        <bgColor rgb="FFF2DCDB"/>
      </patternFill>
    </fill>
    <fill>
      <patternFill patternType="solid">
        <fgColor rgb="FFFFFFCC"/>
        <bgColor rgb="FFFFFFCC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</fills>
  <borders count="5">
    <border/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808080"/>
      </left>
      <top style="thin">
        <color rgb="FF808080"/>
      </top>
      <bottom style="thin">
        <color rgb="FF808080"/>
      </bottom>
    </border>
    <border>
      <top style="thin">
        <color rgb="FF808080"/>
      </top>
      <bottom style="thin">
        <color rgb="FF808080"/>
      </bottom>
    </border>
    <border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ill="1" applyFont="1">
      <alignment horizontal="left" shrinkToFit="0" vertical="center" wrapText="1"/>
    </xf>
    <xf borderId="0" fillId="0" fontId="5" numFmtId="0" xfId="0" applyAlignment="1" applyFont="1">
      <alignment horizontal="left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1" fillId="3" fontId="4" numFmtId="0" xfId="0" applyAlignment="1" applyBorder="1" applyFill="1" applyFont="1">
      <alignment horizontal="left" shrinkToFit="0" vertical="center" wrapText="1"/>
    </xf>
    <xf borderId="1" fillId="4" fontId="3" numFmtId="0" xfId="0" applyAlignment="1" applyBorder="1" applyFill="1" applyFont="1">
      <alignment horizontal="center" shrinkToFit="0" vertical="center" wrapText="1"/>
    </xf>
    <xf borderId="1" fillId="5" fontId="4" numFmtId="0" xfId="0" applyAlignment="1" applyBorder="1" applyFill="1" applyFont="1">
      <alignment horizontal="left" shrinkToFit="0" vertical="center" wrapText="1"/>
    </xf>
    <xf borderId="0" fillId="0" fontId="5" numFmtId="0" xfId="0" applyAlignment="1" applyFont="1">
      <alignment horizontal="left" shrinkToFit="0" vertical="top" wrapText="1"/>
    </xf>
    <xf borderId="0" fillId="0" fontId="4" numFmtId="0" xfId="0" applyAlignment="1" applyFont="1">
      <alignment horizontal="left" shrinkToFit="0" vertical="top" wrapText="1"/>
    </xf>
    <xf borderId="1" fillId="4" fontId="6" numFmtId="0" xfId="0" applyAlignment="1" applyBorder="1" applyFill="1" applyFont="1">
      <alignment horizontal="center" shrinkToFit="0" vertical="center" wrapText="1"/>
    </xf>
    <xf borderId="1" fillId="5" fontId="3" numFmtId="0" xfId="0" applyAlignment="1" applyBorder="1" applyFill="1" applyFont="1">
      <alignment horizontal="center" shrinkToFit="0" vertical="center" wrapText="1"/>
    </xf>
    <xf borderId="1" fillId="6" fontId="7" numFmtId="0" xfId="0" applyAlignment="1" applyBorder="1" applyFill="1" applyFont="1">
      <alignment horizontal="center" shrinkToFit="0" vertical="center" wrapText="1"/>
    </xf>
    <xf borderId="1" fillId="5" fontId="6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left" shrinkToFit="0" vertical="center" wrapText="1"/>
    </xf>
    <xf borderId="1" fillId="7" fontId="3" numFmtId="0" xfId="0" applyAlignment="1" applyBorder="1" applyFill="1" applyFont="1">
      <alignment horizontal="center" shrinkToFit="0" vertical="center" wrapText="1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8" fontId="3" numFmtId="0" xfId="0" applyAlignment="1" applyBorder="1" applyFill="1" applyFont="1">
      <alignment horizontal="center" shrinkToFit="0" vertical="center" wrapText="1"/>
    </xf>
    <xf borderId="1" fillId="6" fontId="7" numFmtId="164" xfId="0" applyAlignment="1" applyBorder="1" applyFill="1" applyFont="1" applyNumberFormat="1">
      <alignment horizontal="center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1" fillId="6" fontId="7" numFmtId="164" xfId="0" applyAlignment="1" applyBorder="1" applyFill="1" applyFont="1" applyNumberFormat="1">
      <alignment horizontal="center" readingOrder="0" shrinkToFit="0" vertical="center" wrapText="1"/>
    </xf>
    <xf borderId="1" fillId="0" fontId="4" numFmtId="164" xfId="0" applyAlignment="1" applyBorder="1" applyFont="1" applyNumberFormat="1">
      <alignment horizontal="center" shrinkToFit="0" vertical="center" wrapText="1"/>
    </xf>
    <xf borderId="0" fillId="0" fontId="8" numFmtId="0" xfId="0" applyAlignment="1" applyFont="1">
      <alignment shrinkToFit="0" vertical="bottom" wrapText="0"/>
    </xf>
    <xf borderId="1" fillId="0" fontId="3" numFmtId="0" xfId="0" applyAlignment="1" applyBorder="1" applyFont="1">
      <alignment horizontal="left" shrinkToFit="0" vertical="center" wrapText="1"/>
    </xf>
    <xf borderId="1" fillId="3" fontId="3" numFmtId="164" xfId="0" applyAlignment="1" applyBorder="1" applyFill="1" applyFont="1" applyNumberFormat="1">
      <alignment horizontal="center" shrinkToFit="0" vertical="center" wrapText="1"/>
    </xf>
    <xf borderId="1" fillId="4" fontId="3" numFmtId="0" xfId="0" applyAlignment="1" applyBorder="1" applyFill="1" applyFont="1">
      <alignment horizontal="left" shrinkToFit="0" vertical="center" wrapText="1"/>
    </xf>
    <xf borderId="1" fillId="4" fontId="3" numFmtId="164" xfId="0" applyAlignment="1" applyBorder="1" applyFill="1" applyFont="1" applyNumberForma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5" fontId="3" numFmtId="0" xfId="0" applyAlignment="1" applyBorder="1" applyFill="1" applyFont="1">
      <alignment horizontal="left" shrinkToFit="0" vertical="center" wrapText="1"/>
    </xf>
    <xf borderId="2" fillId="0" fontId="3" numFmtId="0" xfId="0" applyAlignment="1" applyBorder="1" applyFont="1">
      <alignment horizontal="left" shrinkToFit="0" vertical="center" wrapText="1"/>
    </xf>
    <xf borderId="0" fillId="0" fontId="5" numFmtId="0" xfId="0" applyAlignment="1" applyFont="1">
      <alignment shrinkToFit="0" vertical="bottom" wrapText="0"/>
    </xf>
    <xf borderId="3" fillId="0" fontId="9" numFmtId="0" xfId="0" applyBorder="1" applyFont="1"/>
    <xf borderId="4" fillId="0" fontId="9" numFmtId="0" xfId="0" applyBorder="1" applyFont="1"/>
    <xf borderId="1" fillId="5" fontId="3" numFmtId="164" xfId="0" applyAlignment="1" applyBorder="1" applyFill="1" applyFont="1" applyNumberFormat="1">
      <alignment horizontal="center" shrinkToFit="0" vertical="center" wrapText="1"/>
    </xf>
    <xf borderId="1" fillId="3" fontId="3" numFmtId="164" xfId="0" applyAlignment="1" applyBorder="1" applyFill="1" applyFont="1" applyNumberFormat="1">
      <alignment shrinkToFit="0" vertical="bottom" wrapText="0"/>
    </xf>
    <xf borderId="1" fillId="4" fontId="3" numFmtId="164" xfId="0" applyAlignment="1" applyBorder="1" applyFill="1" applyFont="1" applyNumberFormat="1">
      <alignment shrinkToFit="0" vertical="bottom" wrapText="0"/>
    </xf>
    <xf borderId="1" fillId="5" fontId="3" numFmtId="164" xfId="0" applyAlignment="1" applyBorder="1" applyFill="1" applyFont="1" applyNumberFormat="1">
      <alignment shrinkToFit="0" vertical="bottom" wrapText="0"/>
    </xf>
  </cellXfs>
  <cellStyles count="1">
    <cellStyle xfId="0" name="Normal" builtinId="0"/>
  </cellStyles>
  <dxfs count="3"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EB9C"/>
          <bgColor rgb="FFFFEB9C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extension.psu.edu/penn-state-particle-separator" TargetMode="External"/><Relationship Id="rId2" Type="http://schemas.openxmlformats.org/officeDocument/2006/relationships/hyperlink" Target="https://extension.psu.edu/penn-state-particle-size-separator-psps" TargetMode="External"/><Relationship Id="rId3" Type="http://schemas.openxmlformats.org/officeDocument/2006/relationships/hyperlink" Target="https://www.sciencedirect.com/science/article/pii/S0022030203737734" TargetMode="External"/><Relationship Id="rId4" Type="http://schemas.openxmlformats.org/officeDocument/2006/relationships/hyperlink" Target="https://www.journalofdairyscience.org/article/S0022-0302(12)00063-X/fulltext" TargetMode="External"/><Relationship Id="rId5" Type="http://schemas.openxmlformats.org/officeDocument/2006/relationships/hyperlink" Target="https://www.sciencedirect.com/science/article/pii/S0022030218303783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4.0"/>
    <col customWidth="1" min="2" max="6" width="15.0"/>
    <col customWidth="1" min="7" max="26" width="8.71"/>
  </cols>
  <sheetData>
    <row r="1">
      <c r="A1" s="1" t="s">
        <v>0</v>
      </c>
    </row>
    <row r="3">
      <c r="A3" s="3" t="s">
        <v>4</v>
      </c>
    </row>
    <row r="4">
      <c r="A4" s="4" t="s">
        <v>5</v>
      </c>
      <c r="B4" s="4" t="s">
        <v>9</v>
      </c>
      <c r="C4" s="4" t="s">
        <v>10</v>
      </c>
      <c r="D4" s="4" t="s">
        <v>11</v>
      </c>
      <c r="E4" s="4" t="s">
        <v>12</v>
      </c>
      <c r="F4" s="4" t="s">
        <v>13</v>
      </c>
    </row>
    <row r="5">
      <c r="A5" s="6" t="s">
        <v>14</v>
      </c>
      <c r="B5" s="8" t="s">
        <v>19</v>
      </c>
      <c r="C5" s="8" t="s">
        <v>26</v>
      </c>
      <c r="D5" s="8" t="s">
        <v>27</v>
      </c>
      <c r="E5" s="8" t="s">
        <v>28</v>
      </c>
      <c r="F5" s="9" t="s">
        <v>29</v>
      </c>
    </row>
    <row r="6">
      <c r="A6" s="10" t="s">
        <v>31</v>
      </c>
      <c r="B6" s="8" t="s">
        <v>33</v>
      </c>
      <c r="C6" s="8" t="s">
        <v>34</v>
      </c>
      <c r="D6" s="8" t="s">
        <v>36</v>
      </c>
      <c r="E6" s="8" t="s">
        <v>28</v>
      </c>
      <c r="F6" s="9" t="s">
        <v>37</v>
      </c>
    </row>
    <row r="7">
      <c r="A7" s="12" t="s">
        <v>39</v>
      </c>
      <c r="B7" s="8" t="s">
        <v>40</v>
      </c>
      <c r="C7" s="8" t="s">
        <v>41</v>
      </c>
      <c r="D7" s="8" t="s">
        <v>33</v>
      </c>
      <c r="E7" s="8" t="s">
        <v>36</v>
      </c>
      <c r="F7" s="9" t="s">
        <v>42</v>
      </c>
    </row>
    <row r="9" ht="27.75" customHeight="1">
      <c r="A9" s="13" t="s">
        <v>43</v>
      </c>
    </row>
    <row r="12">
      <c r="A12" s="3" t="s">
        <v>45</v>
      </c>
    </row>
    <row r="13" ht="18.0" customHeight="1">
      <c r="A13" s="14" t="s">
        <v>46</v>
      </c>
    </row>
    <row r="14" ht="18.0" customHeight="1">
      <c r="A14" s="14" t="s">
        <v>47</v>
      </c>
    </row>
    <row r="15" ht="18.0" customHeight="1">
      <c r="A15" s="14" t="s">
        <v>49</v>
      </c>
    </row>
    <row r="16" ht="18.0" customHeight="1">
      <c r="A16" s="14" t="s">
        <v>51</v>
      </c>
    </row>
    <row r="17" ht="18.0" customHeight="1">
      <c r="A17" s="13" t="s">
        <v>52</v>
      </c>
    </row>
    <row r="19">
      <c r="A19" s="3" t="s">
        <v>53</v>
      </c>
    </row>
    <row r="20" ht="15.0" customHeight="1">
      <c r="A20" s="14" t="s">
        <v>54</v>
      </c>
    </row>
    <row r="21" ht="15.0" customHeight="1">
      <c r="A21" s="14" t="s">
        <v>56</v>
      </c>
    </row>
    <row r="22" ht="15.0" customHeight="1">
      <c r="A22" s="14" t="s">
        <v>57</v>
      </c>
    </row>
    <row r="23" ht="15.0" customHeight="1">
      <c r="A23" s="14" t="s">
        <v>58</v>
      </c>
    </row>
    <row r="24" ht="15.0" customHeight="1">
      <c r="A24" s="14" t="s">
        <v>59</v>
      </c>
    </row>
    <row r="25" ht="15.0" customHeight="1">
      <c r="A25" s="14" t="s">
        <v>60</v>
      </c>
    </row>
    <row r="26" ht="15.75" customHeight="1"/>
    <row r="27" ht="15.75" customHeight="1">
      <c r="A27" s="3" t="s">
        <v>61</v>
      </c>
    </row>
    <row r="28" ht="15.0" customHeight="1">
      <c r="A28" s="5" t="s">
        <v>62</v>
      </c>
      <c r="B28" s="19" t="s">
        <v>63</v>
      </c>
    </row>
    <row r="29" ht="15.0" customHeight="1">
      <c r="A29" s="20" t="s">
        <v>65</v>
      </c>
      <c r="B29" s="19" t="s">
        <v>66</v>
      </c>
    </row>
    <row r="30" ht="15.0" customHeight="1">
      <c r="A30" s="22" t="s">
        <v>68</v>
      </c>
      <c r="B30" s="19" t="s">
        <v>70</v>
      </c>
    </row>
    <row r="31" ht="15.0" customHeight="1">
      <c r="A31" s="13" t="s">
        <v>71</v>
      </c>
    </row>
    <row r="32" ht="15.75" customHeight="1"/>
    <row r="33" ht="15.75" customHeight="1"/>
    <row r="34" ht="15.75" customHeight="1">
      <c r="A34" s="3" t="s">
        <v>74</v>
      </c>
    </row>
    <row r="35" ht="27.75" customHeight="1">
      <c r="A35" s="14" t="s">
        <v>76</v>
      </c>
    </row>
    <row r="36" ht="15.75" customHeight="1">
      <c r="A36" s="27" t="s">
        <v>78</v>
      </c>
    </row>
    <row r="37" ht="27.75" customHeight="1">
      <c r="A37" s="14" t="s">
        <v>85</v>
      </c>
    </row>
    <row r="38" ht="15.75" customHeight="1">
      <c r="A38" s="27" t="s">
        <v>86</v>
      </c>
    </row>
    <row r="39" ht="27.75" customHeight="1">
      <c r="A39" s="14" t="s">
        <v>88</v>
      </c>
    </row>
    <row r="40" ht="15.75" customHeight="1">
      <c r="A40" s="27" t="s">
        <v>89</v>
      </c>
    </row>
    <row r="41" ht="27.75" customHeight="1">
      <c r="A41" s="14" t="s">
        <v>90</v>
      </c>
    </row>
    <row r="42" ht="15.75" customHeight="1">
      <c r="A42" s="27" t="s">
        <v>92</v>
      </c>
    </row>
    <row r="43" ht="27.75" customHeight="1">
      <c r="A43" s="14" t="s">
        <v>93</v>
      </c>
    </row>
    <row r="44" ht="15.75" customHeight="1">
      <c r="A44" s="27" t="s">
        <v>94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A9:F10"/>
    <mergeCell ref="A13:F13"/>
    <mergeCell ref="A14:F14"/>
    <mergeCell ref="A15:F15"/>
    <mergeCell ref="A16:F16"/>
    <mergeCell ref="A17:F17"/>
    <mergeCell ref="A20:F20"/>
    <mergeCell ref="A21:F21"/>
    <mergeCell ref="A22:F22"/>
    <mergeCell ref="A23:F23"/>
    <mergeCell ref="A24:F24"/>
    <mergeCell ref="A25:F25"/>
    <mergeCell ref="B28:F28"/>
    <mergeCell ref="B29:F29"/>
    <mergeCell ref="A40:F40"/>
    <mergeCell ref="A41:F41"/>
    <mergeCell ref="A42:F42"/>
    <mergeCell ref="A43:F43"/>
    <mergeCell ref="A44:F44"/>
    <mergeCell ref="B30:F30"/>
    <mergeCell ref="A31:F31"/>
    <mergeCell ref="A35:F35"/>
    <mergeCell ref="A36:F36"/>
    <mergeCell ref="A37:F37"/>
    <mergeCell ref="A38:F38"/>
    <mergeCell ref="A39:F39"/>
  </mergeCells>
  <hyperlinks>
    <hyperlink r:id="rId1" ref="A36"/>
    <hyperlink r:id="rId2" ref="A38"/>
    <hyperlink r:id="rId3" ref="A40"/>
    <hyperlink r:id="rId4" ref="A42"/>
    <hyperlink r:id="rId5" ref="A44"/>
  </hyperlinks>
  <printOptions/>
  <pageMargins bottom="0.5" footer="0.0" header="0.0" left="0.4" right="0.4" top="0.5"/>
  <pageSetup fitToHeight="0" orientation="portrait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40.0"/>
    <col customWidth="1" min="2" max="5" width="14.0"/>
    <col customWidth="1" min="6" max="6" width="13.0"/>
    <col customWidth="1" min="7" max="7" width="14.0"/>
    <col customWidth="1" min="8" max="26" width="8.71"/>
  </cols>
  <sheetData>
    <row r="1">
      <c r="A1" s="2" t="s">
        <v>2</v>
      </c>
    </row>
    <row r="2" ht="27.75" customHeight="1">
      <c r="A2" s="7" t="s">
        <v>6</v>
      </c>
    </row>
    <row r="3" ht="31.5" customHeight="1">
      <c r="A3" s="11" t="s">
        <v>35</v>
      </c>
      <c r="B3" s="11" t="s">
        <v>15</v>
      </c>
      <c r="C3" s="11" t="s">
        <v>16</v>
      </c>
      <c r="D3" s="11" t="s">
        <v>17</v>
      </c>
      <c r="E3" s="11" t="s">
        <v>18</v>
      </c>
      <c r="F3" s="11" t="s">
        <v>44</v>
      </c>
    </row>
    <row r="4">
      <c r="A4" s="11" t="s">
        <v>20</v>
      </c>
      <c r="B4" s="11" t="s">
        <v>21</v>
      </c>
      <c r="C4" s="11" t="s">
        <v>22</v>
      </c>
      <c r="D4" s="11" t="s">
        <v>23</v>
      </c>
      <c r="E4" s="11" t="s">
        <v>24</v>
      </c>
      <c r="F4" s="11"/>
    </row>
    <row r="5">
      <c r="A5" s="11" t="s">
        <v>25</v>
      </c>
      <c r="B5" s="11" t="s">
        <v>19</v>
      </c>
      <c r="C5" s="11" t="s">
        <v>26</v>
      </c>
      <c r="D5" s="11" t="s">
        <v>27</v>
      </c>
      <c r="E5" s="11" t="s">
        <v>28</v>
      </c>
      <c r="F5" s="11"/>
    </row>
    <row r="6">
      <c r="A6" s="11" t="s">
        <v>30</v>
      </c>
      <c r="B6" s="15">
        <v>3.0</v>
      </c>
      <c r="C6" s="15">
        <v>45.0</v>
      </c>
      <c r="D6" s="15">
        <v>20.0</v>
      </c>
      <c r="E6" s="15">
        <v>0.0</v>
      </c>
      <c r="F6" s="11"/>
    </row>
    <row r="7">
      <c r="A7" s="11" t="s">
        <v>32</v>
      </c>
      <c r="B7" s="15">
        <v>8.0</v>
      </c>
      <c r="C7" s="15">
        <v>65.0</v>
      </c>
      <c r="D7" s="15">
        <v>30.0</v>
      </c>
      <c r="E7" s="15">
        <v>10.0</v>
      </c>
      <c r="F7" s="11"/>
    </row>
    <row r="8">
      <c r="A8" s="11" t="s">
        <v>38</v>
      </c>
      <c r="B8" s="17">
        <v>1000.0</v>
      </c>
      <c r="C8" s="11">
        <f t="shared" ref="C8:E8" si="1">$B$8</f>
        <v>1000</v>
      </c>
      <c r="D8" s="11">
        <f t="shared" si="1"/>
        <v>1000</v>
      </c>
      <c r="E8" s="11">
        <f t="shared" si="1"/>
        <v>1000</v>
      </c>
      <c r="F8" s="11"/>
    </row>
    <row r="9" ht="30.0" customHeight="1">
      <c r="A9" s="4" t="s">
        <v>69</v>
      </c>
      <c r="B9" s="4" t="s">
        <v>50</v>
      </c>
      <c r="C9" s="4" t="s">
        <v>50</v>
      </c>
      <c r="D9" s="4" t="s">
        <v>50</v>
      </c>
      <c r="E9" s="4" t="s">
        <v>50</v>
      </c>
      <c r="F9" s="4" t="s">
        <v>44</v>
      </c>
      <c r="G9" s="4" t="s">
        <v>73</v>
      </c>
    </row>
    <row r="10">
      <c r="A10" s="9" t="s">
        <v>75</v>
      </c>
      <c r="B10" s="23">
        <v>50.0</v>
      </c>
      <c r="C10" s="23">
        <v>700.0</v>
      </c>
      <c r="D10" s="23">
        <v>100.0</v>
      </c>
      <c r="E10" s="23">
        <v>150.0</v>
      </c>
      <c r="F10" s="26">
        <f t="shared" ref="F10:F20" si="2">IF(COUNT(B10:E10)=0,"",SUM(B10:E10))</f>
        <v>1000</v>
      </c>
      <c r="G10" s="26">
        <f t="shared" ref="G10:G19" si="3">IF(COUNT(B10:E10)=0,"",F10/$B$8*100)</f>
        <v>100</v>
      </c>
    </row>
    <row r="11">
      <c r="A11" s="9">
        <v>2.0</v>
      </c>
      <c r="B11" s="23"/>
      <c r="C11" s="23"/>
      <c r="D11" s="23"/>
      <c r="E11" s="23"/>
      <c r="F11" s="26" t="str">
        <f t="shared" si="2"/>
        <v/>
      </c>
      <c r="G11" s="26" t="str">
        <f t="shared" si="3"/>
        <v/>
      </c>
    </row>
    <row r="12">
      <c r="A12" s="9">
        <v>3.0</v>
      </c>
      <c r="B12" s="23"/>
      <c r="C12" s="23"/>
      <c r="D12" s="23"/>
      <c r="E12" s="23"/>
      <c r="F12" s="26" t="str">
        <f t="shared" si="2"/>
        <v/>
      </c>
      <c r="G12" s="26" t="str">
        <f t="shared" si="3"/>
        <v/>
      </c>
    </row>
    <row r="13">
      <c r="A13" s="9">
        <v>4.0</v>
      </c>
      <c r="B13" s="23"/>
      <c r="C13" s="23"/>
      <c r="D13" s="23"/>
      <c r="E13" s="23"/>
      <c r="F13" s="26" t="str">
        <f t="shared" si="2"/>
        <v/>
      </c>
      <c r="G13" s="26" t="str">
        <f t="shared" si="3"/>
        <v/>
      </c>
    </row>
    <row r="14">
      <c r="A14" s="9">
        <v>5.0</v>
      </c>
      <c r="B14" s="23"/>
      <c r="C14" s="23"/>
      <c r="D14" s="23"/>
      <c r="E14" s="23"/>
      <c r="F14" s="26" t="str">
        <f t="shared" si="2"/>
        <v/>
      </c>
      <c r="G14" s="26" t="str">
        <f t="shared" si="3"/>
        <v/>
      </c>
    </row>
    <row r="15">
      <c r="A15" s="9">
        <v>6.0</v>
      </c>
      <c r="B15" s="23"/>
      <c r="C15" s="23"/>
      <c r="D15" s="23"/>
      <c r="E15" s="23"/>
      <c r="F15" s="26" t="str">
        <f t="shared" si="2"/>
        <v/>
      </c>
      <c r="G15" s="26" t="str">
        <f t="shared" si="3"/>
        <v/>
      </c>
    </row>
    <row r="16">
      <c r="A16" s="9">
        <v>7.0</v>
      </c>
      <c r="B16" s="23"/>
      <c r="C16" s="23"/>
      <c r="D16" s="23"/>
      <c r="E16" s="23"/>
      <c r="F16" s="26" t="str">
        <f t="shared" si="2"/>
        <v/>
      </c>
      <c r="G16" s="26" t="str">
        <f t="shared" si="3"/>
        <v/>
      </c>
    </row>
    <row r="17">
      <c r="A17" s="9">
        <v>8.0</v>
      </c>
      <c r="B17" s="23"/>
      <c r="C17" s="23"/>
      <c r="D17" s="23"/>
      <c r="E17" s="23"/>
      <c r="F17" s="26" t="str">
        <f t="shared" si="2"/>
        <v/>
      </c>
      <c r="G17" s="26" t="str">
        <f t="shared" si="3"/>
        <v/>
      </c>
    </row>
    <row r="18">
      <c r="A18" s="9">
        <v>9.0</v>
      </c>
      <c r="B18" s="23"/>
      <c r="C18" s="23"/>
      <c r="D18" s="23"/>
      <c r="E18" s="23"/>
      <c r="F18" s="26" t="str">
        <f t="shared" si="2"/>
        <v/>
      </c>
      <c r="G18" s="26" t="str">
        <f t="shared" si="3"/>
        <v/>
      </c>
    </row>
    <row r="19">
      <c r="A19" s="9">
        <v>10.0</v>
      </c>
      <c r="B19" s="23"/>
      <c r="C19" s="23"/>
      <c r="D19" s="23"/>
      <c r="E19" s="23"/>
      <c r="F19" s="26" t="str">
        <f t="shared" si="2"/>
        <v/>
      </c>
      <c r="G19" s="26" t="str">
        <f t="shared" si="3"/>
        <v/>
      </c>
    </row>
    <row r="20">
      <c r="A20" s="30" t="s">
        <v>84</v>
      </c>
      <c r="B20" s="31">
        <f t="shared" ref="B20:E20" si="4">IF(COUNT(B10:B19)=0,"",AVERAGE(B10:B19))</f>
        <v>50</v>
      </c>
      <c r="C20" s="31">
        <f t="shared" si="4"/>
        <v>700</v>
      </c>
      <c r="D20" s="31">
        <f t="shared" si="4"/>
        <v>100</v>
      </c>
      <c r="E20" s="31">
        <f t="shared" si="4"/>
        <v>150</v>
      </c>
      <c r="F20" s="31">
        <f t="shared" si="2"/>
        <v>1000</v>
      </c>
    </row>
    <row r="21" ht="15.75" customHeight="1">
      <c r="A21" s="30" t="s">
        <v>95</v>
      </c>
      <c r="B21" s="31">
        <f t="shared" ref="B21:E21" si="5">IF(N(B20)=0,"",B20/$B$8*100)</f>
        <v>5</v>
      </c>
      <c r="C21" s="31">
        <f t="shared" si="5"/>
        <v>70</v>
      </c>
      <c r="D21" s="31">
        <f t="shared" si="5"/>
        <v>10</v>
      </c>
      <c r="E21" s="31">
        <f t="shared" si="5"/>
        <v>15</v>
      </c>
      <c r="F21" s="31">
        <f>IF(N(B21)=0,"",SUM(B21:E21))</f>
        <v>100</v>
      </c>
      <c r="G21" s="35" t="s">
        <v>97</v>
      </c>
    </row>
    <row r="22" ht="15.75" customHeight="1">
      <c r="A22" s="28" t="s">
        <v>98</v>
      </c>
      <c r="B22" s="32" t="str">
        <f t="shared" ref="B22:E22" si="6">IF(N(B21)=0,"",IF(AND(B21&gt;=B6,B21&lt;=B7),"ดี (Good)",IF(MAX(B6-B21,B21-B7)&lt;=$B$26,"พอใช้ (Fair)","ไม่ดี (Bad)")))</f>
        <v>ดี (Good)</v>
      </c>
      <c r="C22" s="32" t="str">
        <f t="shared" si="6"/>
        <v>ไม่ดี (Bad)</v>
      </c>
      <c r="D22" s="32" t="str">
        <f t="shared" si="6"/>
        <v>ไม่ดี (Bad)</v>
      </c>
      <c r="E22" s="32" t="str">
        <f t="shared" si="6"/>
        <v>ไม่ดี (Bad)</v>
      </c>
      <c r="F22" s="32"/>
    </row>
    <row r="23" ht="15.0" customHeight="1">
      <c r="A23" s="34" t="s">
        <v>102</v>
      </c>
      <c r="B23" s="36"/>
      <c r="C23" s="36"/>
      <c r="D23" s="36"/>
      <c r="E23" s="37"/>
      <c r="F23" s="40">
        <f>IF(N(B21)=0,"",B21+C21)</f>
        <v>75</v>
      </c>
      <c r="G23" s="35" t="s">
        <v>103</v>
      </c>
    </row>
    <row r="24" ht="15.0" customHeight="1">
      <c r="A24" s="34" t="s">
        <v>104</v>
      </c>
      <c r="B24" s="36"/>
      <c r="C24" s="36"/>
      <c r="D24" s="36"/>
      <c r="E24" s="37"/>
      <c r="F24" s="40">
        <f>IF(N(B21)=0,"",B21+C21+D21)</f>
        <v>85</v>
      </c>
    </row>
    <row r="25" ht="15.75" customHeight="1"/>
    <row r="26" ht="15.75" customHeight="1">
      <c r="A26" s="19" t="s">
        <v>99</v>
      </c>
      <c r="B26" s="17">
        <v>2.0</v>
      </c>
    </row>
    <row r="27" ht="15.75" customHeight="1"/>
    <row r="28" ht="15.75" customHeight="1">
      <c r="A28" s="3" t="s">
        <v>105</v>
      </c>
    </row>
    <row r="29" ht="30.0" customHeight="1">
      <c r="A29" s="13" t="s">
        <v>106</v>
      </c>
    </row>
    <row r="30" ht="30.0" customHeight="1">
      <c r="A30" s="13" t="s">
        <v>107</v>
      </c>
    </row>
    <row r="31" ht="30.0" customHeight="1">
      <c r="A31" s="13" t="s">
        <v>108</v>
      </c>
    </row>
    <row r="32" ht="30.0" customHeight="1">
      <c r="A32" s="13" t="s">
        <v>109</v>
      </c>
    </row>
    <row r="33" ht="30.0" customHeight="1">
      <c r="A33" s="13" t="s">
        <v>110</v>
      </c>
    </row>
    <row r="34" ht="15.75" customHeight="1"/>
    <row r="35" ht="15.75" customHeight="1">
      <c r="A35" s="3" t="s">
        <v>111</v>
      </c>
    </row>
    <row r="36" ht="15.0" customHeight="1">
      <c r="A36" s="13" t="s">
        <v>112</v>
      </c>
    </row>
    <row r="37" ht="15.0" customHeight="1">
      <c r="A37" s="13" t="s">
        <v>113</v>
      </c>
    </row>
    <row r="38" ht="15.0" customHeight="1">
      <c r="A38" s="13" t="s">
        <v>114</v>
      </c>
    </row>
    <row r="39" ht="15.0" customHeight="1">
      <c r="A39" s="13" t="s">
        <v>115</v>
      </c>
    </row>
    <row r="40" ht="15.0" customHeight="1">
      <c r="A40" s="13" t="s">
        <v>116</v>
      </c>
    </row>
    <row r="41" ht="15.0" customHeight="1">
      <c r="A41" s="13" t="s">
        <v>117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32:G32"/>
    <mergeCell ref="A33:G33"/>
    <mergeCell ref="A36:G36"/>
    <mergeCell ref="A37:G37"/>
    <mergeCell ref="A38:G38"/>
    <mergeCell ref="A39:G39"/>
    <mergeCell ref="A40:G40"/>
    <mergeCell ref="A41:G41"/>
    <mergeCell ref="A1:F1"/>
    <mergeCell ref="A2:F2"/>
    <mergeCell ref="A23:E23"/>
    <mergeCell ref="A24:E24"/>
    <mergeCell ref="A29:G29"/>
    <mergeCell ref="A30:G30"/>
    <mergeCell ref="A31:G31"/>
  </mergeCells>
  <conditionalFormatting sqref="B22:E22">
    <cfRule type="expression" dxfId="0" priority="1">
      <formula>B22="ดี (Good)"</formula>
    </cfRule>
  </conditionalFormatting>
  <conditionalFormatting sqref="B22:E22">
    <cfRule type="expression" dxfId="1" priority="2">
      <formula>B22="พอใช้ (Fair)"</formula>
    </cfRule>
  </conditionalFormatting>
  <conditionalFormatting sqref="B22:E22">
    <cfRule type="expression" dxfId="2" priority="3">
      <formula>B22="ไม่ดี (Bad)"</formula>
    </cfRule>
  </conditionalFormatting>
  <conditionalFormatting sqref="G10:G19">
    <cfRule type="expression" dxfId="2" priority="4">
      <formula>AND(N(G10)&lt;&gt;0,OR(G10&lt;97,G10&gt;103))</formula>
    </cfRule>
  </conditionalFormatting>
  <printOptions/>
  <pageMargins bottom="0.5" footer="0.0" header="0.0" left="0.4" right="0.4" top="0.5"/>
  <pageSetup fitToHeight="0"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40.0"/>
    <col customWidth="1" min="2" max="5" width="14.0"/>
    <col customWidth="1" min="6" max="6" width="13.0"/>
    <col customWidth="1" min="7" max="7" width="14.0"/>
    <col customWidth="1" min="8" max="26" width="8.71"/>
  </cols>
  <sheetData>
    <row r="1">
      <c r="A1" s="2" t="s">
        <v>1</v>
      </c>
    </row>
    <row r="2" ht="27.75" customHeight="1">
      <c r="A2" s="7" t="s">
        <v>7</v>
      </c>
    </row>
    <row r="3" ht="31.5" customHeight="1">
      <c r="A3" s="16" t="s">
        <v>35</v>
      </c>
      <c r="B3" s="16" t="s">
        <v>15</v>
      </c>
      <c r="C3" s="16" t="s">
        <v>16</v>
      </c>
      <c r="D3" s="16" t="s">
        <v>17</v>
      </c>
      <c r="E3" s="16" t="s">
        <v>18</v>
      </c>
      <c r="F3" s="16" t="s">
        <v>44</v>
      </c>
    </row>
    <row r="4">
      <c r="A4" s="16" t="s">
        <v>20</v>
      </c>
      <c r="B4" s="16" t="s">
        <v>21</v>
      </c>
      <c r="C4" s="16" t="s">
        <v>22</v>
      </c>
      <c r="D4" s="16" t="s">
        <v>23</v>
      </c>
      <c r="E4" s="16" t="s">
        <v>24</v>
      </c>
      <c r="F4" s="16"/>
    </row>
    <row r="5">
      <c r="A5" s="16" t="s">
        <v>25</v>
      </c>
      <c r="B5" s="16" t="s">
        <v>40</v>
      </c>
      <c r="C5" s="16" t="s">
        <v>41</v>
      </c>
      <c r="D5" s="16" t="s">
        <v>33</v>
      </c>
      <c r="E5" s="16" t="s">
        <v>36</v>
      </c>
      <c r="F5" s="16"/>
    </row>
    <row r="6">
      <c r="A6" s="16" t="s">
        <v>30</v>
      </c>
      <c r="B6" s="18">
        <v>2.0</v>
      </c>
      <c r="C6" s="18">
        <v>30.0</v>
      </c>
      <c r="D6" s="18">
        <v>10.0</v>
      </c>
      <c r="E6" s="18">
        <v>30.0</v>
      </c>
      <c r="F6" s="16"/>
    </row>
    <row r="7">
      <c r="A7" s="16" t="s">
        <v>32</v>
      </c>
      <c r="B7" s="18">
        <v>8.0</v>
      </c>
      <c r="C7" s="18">
        <v>50.0</v>
      </c>
      <c r="D7" s="18">
        <v>20.0</v>
      </c>
      <c r="E7" s="18">
        <v>40.0</v>
      </c>
      <c r="F7" s="16"/>
    </row>
    <row r="8">
      <c r="A8" s="16" t="s">
        <v>38</v>
      </c>
      <c r="B8" s="21">
        <v>750.0</v>
      </c>
      <c r="C8" s="16">
        <f t="shared" ref="C8:E8" si="1">$B$8</f>
        <v>750</v>
      </c>
      <c r="D8" s="16">
        <f t="shared" si="1"/>
        <v>750</v>
      </c>
      <c r="E8" s="16">
        <f t="shared" si="1"/>
        <v>750</v>
      </c>
      <c r="F8" s="16"/>
    </row>
    <row r="9" ht="30.0" customHeight="1">
      <c r="A9" s="4" t="s">
        <v>69</v>
      </c>
      <c r="B9" s="4" t="s">
        <v>50</v>
      </c>
      <c r="C9" s="4" t="s">
        <v>50</v>
      </c>
      <c r="D9" s="4" t="s">
        <v>50</v>
      </c>
      <c r="E9" s="4" t="s">
        <v>50</v>
      </c>
      <c r="F9" s="4" t="s">
        <v>44</v>
      </c>
      <c r="G9" s="4" t="s">
        <v>73</v>
      </c>
    </row>
    <row r="10">
      <c r="A10" s="24" t="s">
        <v>81</v>
      </c>
      <c r="B10" s="25">
        <v>123.0</v>
      </c>
      <c r="C10" s="25">
        <v>202.0</v>
      </c>
      <c r="D10" s="25">
        <v>169.0</v>
      </c>
      <c r="E10" s="25">
        <v>250.0</v>
      </c>
      <c r="F10" s="26">
        <f t="shared" ref="F10:F20" si="2">IF(COUNT(B10:E10)=0,"",SUM(B10:E10))</f>
        <v>744</v>
      </c>
      <c r="G10" s="26">
        <f t="shared" ref="G10:G19" si="3">IF(COUNT(B10:E10)=0,"",F10/$B$8*100)</f>
        <v>99.2</v>
      </c>
    </row>
    <row r="11">
      <c r="A11" s="9">
        <v>2.0</v>
      </c>
      <c r="B11" s="23"/>
      <c r="C11" s="23"/>
      <c r="D11" s="23"/>
      <c r="E11" s="23"/>
      <c r="F11" s="26" t="str">
        <f t="shared" si="2"/>
        <v/>
      </c>
      <c r="G11" s="26" t="str">
        <f t="shared" si="3"/>
        <v/>
      </c>
    </row>
    <row r="12">
      <c r="A12" s="9">
        <v>3.0</v>
      </c>
      <c r="B12" s="23"/>
      <c r="C12" s="23"/>
      <c r="D12" s="23"/>
      <c r="E12" s="23"/>
      <c r="F12" s="26" t="str">
        <f t="shared" si="2"/>
        <v/>
      </c>
      <c r="G12" s="26" t="str">
        <f t="shared" si="3"/>
        <v/>
      </c>
    </row>
    <row r="13">
      <c r="A13" s="9">
        <v>4.0</v>
      </c>
      <c r="B13" s="23"/>
      <c r="C13" s="23"/>
      <c r="D13" s="23"/>
      <c r="E13" s="23"/>
      <c r="F13" s="26" t="str">
        <f t="shared" si="2"/>
        <v/>
      </c>
      <c r="G13" s="26" t="str">
        <f t="shared" si="3"/>
        <v/>
      </c>
    </row>
    <row r="14">
      <c r="A14" s="9">
        <v>5.0</v>
      </c>
      <c r="B14" s="23"/>
      <c r="C14" s="23"/>
      <c r="D14" s="23"/>
      <c r="E14" s="23"/>
      <c r="F14" s="26" t="str">
        <f t="shared" si="2"/>
        <v/>
      </c>
      <c r="G14" s="26" t="str">
        <f t="shared" si="3"/>
        <v/>
      </c>
    </row>
    <row r="15">
      <c r="A15" s="9">
        <v>6.0</v>
      </c>
      <c r="B15" s="23"/>
      <c r="C15" s="23"/>
      <c r="D15" s="23"/>
      <c r="E15" s="23"/>
      <c r="F15" s="26" t="str">
        <f t="shared" si="2"/>
        <v/>
      </c>
      <c r="G15" s="26" t="str">
        <f t="shared" si="3"/>
        <v/>
      </c>
    </row>
    <row r="16">
      <c r="A16" s="9">
        <v>7.0</v>
      </c>
      <c r="B16" s="23"/>
      <c r="C16" s="23"/>
      <c r="D16" s="23"/>
      <c r="E16" s="23"/>
      <c r="F16" s="26" t="str">
        <f t="shared" si="2"/>
        <v/>
      </c>
      <c r="G16" s="26" t="str">
        <f t="shared" si="3"/>
        <v/>
      </c>
    </row>
    <row r="17">
      <c r="A17" s="9">
        <v>8.0</v>
      </c>
      <c r="B17" s="23"/>
      <c r="C17" s="23"/>
      <c r="D17" s="23"/>
      <c r="E17" s="23"/>
      <c r="F17" s="26" t="str">
        <f t="shared" si="2"/>
        <v/>
      </c>
      <c r="G17" s="26" t="str">
        <f t="shared" si="3"/>
        <v/>
      </c>
    </row>
    <row r="18">
      <c r="A18" s="9">
        <v>9.0</v>
      </c>
      <c r="B18" s="23"/>
      <c r="C18" s="23"/>
      <c r="D18" s="23"/>
      <c r="E18" s="23"/>
      <c r="F18" s="26" t="str">
        <f t="shared" si="2"/>
        <v/>
      </c>
      <c r="G18" s="26" t="str">
        <f t="shared" si="3"/>
        <v/>
      </c>
    </row>
    <row r="19">
      <c r="A19" s="9">
        <v>10.0</v>
      </c>
      <c r="B19" s="23"/>
      <c r="C19" s="23"/>
      <c r="D19" s="23"/>
      <c r="E19" s="23"/>
      <c r="F19" s="26" t="str">
        <f t="shared" si="2"/>
        <v/>
      </c>
      <c r="G19" s="26" t="str">
        <f t="shared" si="3"/>
        <v/>
      </c>
    </row>
    <row r="20">
      <c r="A20" s="33" t="s">
        <v>84</v>
      </c>
      <c r="B20" s="38">
        <f t="shared" ref="B20:E20" si="4">IF(COUNT(B10:B19)=0,"",AVERAGE(B10:B19))</f>
        <v>123</v>
      </c>
      <c r="C20" s="38">
        <f t="shared" si="4"/>
        <v>202</v>
      </c>
      <c r="D20" s="38">
        <f t="shared" si="4"/>
        <v>169</v>
      </c>
      <c r="E20" s="38">
        <f t="shared" si="4"/>
        <v>250</v>
      </c>
      <c r="F20" s="38">
        <f t="shared" si="2"/>
        <v>744</v>
      </c>
    </row>
    <row r="21" ht="15.75" customHeight="1">
      <c r="A21" s="33" t="s">
        <v>95</v>
      </c>
      <c r="B21" s="38">
        <f t="shared" ref="B21:E21" si="5">IF(N(B20)=0,"",B20/$B$8*100)</f>
        <v>16.4</v>
      </c>
      <c r="C21" s="38">
        <f t="shared" si="5"/>
        <v>26.93333333</v>
      </c>
      <c r="D21" s="38">
        <f t="shared" si="5"/>
        <v>22.53333333</v>
      </c>
      <c r="E21" s="38">
        <f t="shared" si="5"/>
        <v>33.33333333</v>
      </c>
      <c r="F21" s="38">
        <f>IF(N(B21)=0,"",SUM(B21:E21))</f>
        <v>99.2</v>
      </c>
      <c r="G21" s="35" t="s">
        <v>97</v>
      </c>
    </row>
    <row r="22" ht="15.75" customHeight="1">
      <c r="A22" s="28" t="s">
        <v>98</v>
      </c>
      <c r="B22" s="32" t="str">
        <f t="shared" ref="B22:E22" si="6">IF(N(B21)=0,"",IF(AND(B21&gt;=B6,B21&lt;=B7),"ดี (Good)",IF(MAX(B6-B21,B21-B7)&lt;=$B$26,"พอใช้ (Fair)","ไม่ดี (Bad)")))</f>
        <v>ไม่ดี (Bad)</v>
      </c>
      <c r="C22" s="32" t="str">
        <f t="shared" si="6"/>
        <v>ไม่ดี (Bad)</v>
      </c>
      <c r="D22" s="32" t="str">
        <f t="shared" si="6"/>
        <v>ไม่ดี (Bad)</v>
      </c>
      <c r="E22" s="32" t="str">
        <f t="shared" si="6"/>
        <v>ดี (Good)</v>
      </c>
      <c r="F22" s="32"/>
    </row>
    <row r="23" ht="15.0" customHeight="1">
      <c r="A23" s="34" t="s">
        <v>102</v>
      </c>
      <c r="B23" s="36"/>
      <c r="C23" s="36"/>
      <c r="D23" s="36"/>
      <c r="E23" s="37"/>
      <c r="F23" s="41">
        <f>IF(N(B21)=0,"",B21+C21)</f>
        <v>43.33333333</v>
      </c>
      <c r="G23" s="35" t="s">
        <v>103</v>
      </c>
    </row>
    <row r="24" ht="15.0" customHeight="1">
      <c r="A24" s="34" t="s">
        <v>104</v>
      </c>
      <c r="B24" s="36"/>
      <c r="C24" s="36"/>
      <c r="D24" s="36"/>
      <c r="E24" s="37"/>
      <c r="F24" s="41">
        <f>IF(N(B21)=0,"",B21+C21+D21)</f>
        <v>65.86666667</v>
      </c>
    </row>
    <row r="25" ht="15.75" customHeight="1"/>
    <row r="26" ht="15.75" customHeight="1">
      <c r="A26" s="19" t="s">
        <v>99</v>
      </c>
      <c r="B26" s="17">
        <v>2.0</v>
      </c>
    </row>
    <row r="27" ht="15.75" customHeight="1"/>
    <row r="28" ht="15.75" customHeight="1">
      <c r="A28" s="3" t="s">
        <v>105</v>
      </c>
    </row>
    <row r="29" ht="30.0" customHeight="1">
      <c r="A29" s="13" t="s">
        <v>118</v>
      </c>
    </row>
    <row r="30" ht="30.0" customHeight="1">
      <c r="A30" s="13" t="s">
        <v>119</v>
      </c>
    </row>
    <row r="31" ht="30.0" customHeight="1">
      <c r="A31" s="13" t="s">
        <v>120</v>
      </c>
    </row>
    <row r="32" ht="30.0" customHeight="1">
      <c r="A32" s="13" t="s">
        <v>121</v>
      </c>
    </row>
    <row r="33" ht="30.0" customHeight="1">
      <c r="A33" s="13" t="s">
        <v>122</v>
      </c>
    </row>
    <row r="34" ht="15.75" customHeight="1"/>
    <row r="35" ht="15.75" customHeight="1">
      <c r="A35" s="3" t="s">
        <v>111</v>
      </c>
    </row>
    <row r="36" ht="15.0" customHeight="1">
      <c r="A36" s="13" t="s">
        <v>112</v>
      </c>
    </row>
    <row r="37" ht="15.0" customHeight="1">
      <c r="A37" s="13" t="s">
        <v>113</v>
      </c>
    </row>
    <row r="38" ht="15.0" customHeight="1">
      <c r="A38" s="13" t="s">
        <v>114</v>
      </c>
    </row>
    <row r="39" ht="15.0" customHeight="1">
      <c r="A39" s="13" t="s">
        <v>115</v>
      </c>
    </row>
    <row r="40" ht="15.0" customHeight="1">
      <c r="A40" s="13" t="s">
        <v>116</v>
      </c>
    </row>
    <row r="41" ht="15.0" customHeight="1">
      <c r="A41" s="13" t="s">
        <v>117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32:G32"/>
    <mergeCell ref="A33:G33"/>
    <mergeCell ref="A36:G36"/>
    <mergeCell ref="A37:G37"/>
    <mergeCell ref="A38:G38"/>
    <mergeCell ref="A39:G39"/>
    <mergeCell ref="A40:G40"/>
    <mergeCell ref="A41:G41"/>
    <mergeCell ref="A1:F1"/>
    <mergeCell ref="A2:F2"/>
    <mergeCell ref="A23:E23"/>
    <mergeCell ref="A24:E24"/>
    <mergeCell ref="A29:G29"/>
    <mergeCell ref="A30:G30"/>
    <mergeCell ref="A31:G31"/>
  </mergeCells>
  <conditionalFormatting sqref="B22:E22">
    <cfRule type="expression" dxfId="0" priority="1">
      <formula>B22="ดี (Good)"</formula>
    </cfRule>
  </conditionalFormatting>
  <conditionalFormatting sqref="B22:E22">
    <cfRule type="expression" dxfId="1" priority="2">
      <formula>B22="พอใช้ (Fair)"</formula>
    </cfRule>
  </conditionalFormatting>
  <conditionalFormatting sqref="B22:E22">
    <cfRule type="expression" dxfId="2" priority="3">
      <formula>B22="ไม่ดี (Bad)"</formula>
    </cfRule>
  </conditionalFormatting>
  <conditionalFormatting sqref="G10:G19">
    <cfRule type="expression" dxfId="2" priority="4">
      <formula>AND(N(G10)&lt;&gt;0,OR(G10&lt;97,G10&gt;103))</formula>
    </cfRule>
  </conditionalFormatting>
  <printOptions/>
  <pageMargins bottom="0.5" footer="0.0" header="0.0" left="0.4" right="0.4" top="0.5"/>
  <pageSetup fitToHeight="0"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4.0"/>
    <col customWidth="1" min="2" max="7" width="14.0"/>
    <col customWidth="1" min="8" max="26" width="8.71"/>
  </cols>
  <sheetData>
    <row r="1">
      <c r="A1" s="2" t="s">
        <v>3</v>
      </c>
    </row>
    <row r="3">
      <c r="A3" s="5" t="s">
        <v>8</v>
      </c>
      <c r="B3" s="5" t="s">
        <v>15</v>
      </c>
      <c r="C3" s="5" t="s">
        <v>16</v>
      </c>
      <c r="D3" s="5" t="s">
        <v>17</v>
      </c>
      <c r="E3" s="5" t="s">
        <v>18</v>
      </c>
    </row>
    <row r="4">
      <c r="A4" s="5" t="s">
        <v>20</v>
      </c>
      <c r="B4" s="5" t="s">
        <v>21</v>
      </c>
      <c r="C4" s="5" t="s">
        <v>22</v>
      </c>
      <c r="D4" s="5" t="s">
        <v>23</v>
      </c>
      <c r="E4" s="5" t="s">
        <v>24</v>
      </c>
    </row>
    <row r="5">
      <c r="A5" s="5" t="s">
        <v>25</v>
      </c>
      <c r="B5" s="5" t="s">
        <v>19</v>
      </c>
      <c r="C5" s="5" t="s">
        <v>26</v>
      </c>
      <c r="D5" s="5" t="s">
        <v>27</v>
      </c>
      <c r="E5" s="5" t="s">
        <v>28</v>
      </c>
    </row>
    <row r="6">
      <c r="A6" s="5" t="s">
        <v>30</v>
      </c>
      <c r="B6" s="5">
        <v>3.0</v>
      </c>
      <c r="C6" s="5">
        <v>45.0</v>
      </c>
      <c r="D6" s="5">
        <v>20.0</v>
      </c>
      <c r="E6" s="5">
        <v>0.0</v>
      </c>
    </row>
    <row r="7">
      <c r="A7" s="5" t="s">
        <v>32</v>
      </c>
      <c r="B7" s="5">
        <v>8.0</v>
      </c>
      <c r="C7" s="5">
        <v>65.0</v>
      </c>
      <c r="D7" s="5">
        <v>30.0</v>
      </c>
      <c r="E7" s="5">
        <v>10.0</v>
      </c>
    </row>
    <row r="8">
      <c r="A8" s="5" t="s">
        <v>38</v>
      </c>
      <c r="B8" s="5">
        <v>510.0</v>
      </c>
      <c r="C8" s="5">
        <f t="shared" ref="C8:E8" si="1">$B$8</f>
        <v>510</v>
      </c>
      <c r="D8" s="5">
        <f t="shared" si="1"/>
        <v>510</v>
      </c>
      <c r="E8" s="5">
        <f t="shared" si="1"/>
        <v>510</v>
      </c>
    </row>
    <row r="9">
      <c r="A9" s="4" t="s">
        <v>48</v>
      </c>
      <c r="B9" s="4" t="s">
        <v>50</v>
      </c>
      <c r="C9" s="4" t="s">
        <v>50</v>
      </c>
      <c r="D9" s="4" t="s">
        <v>50</v>
      </c>
      <c r="E9" s="4" t="s">
        <v>50</v>
      </c>
      <c r="F9" s="4" t="s">
        <v>44</v>
      </c>
    </row>
    <row r="10">
      <c r="A10" s="9" t="s">
        <v>55</v>
      </c>
      <c r="B10" s="17">
        <v>40.0</v>
      </c>
      <c r="C10" s="17">
        <v>372.0</v>
      </c>
      <c r="D10" s="17">
        <v>56.0</v>
      </c>
      <c r="E10" s="17">
        <v>40.0</v>
      </c>
      <c r="F10" s="8">
        <f t="shared" ref="F10:F20" si="2">SUM(B10:E10)</f>
        <v>508</v>
      </c>
    </row>
    <row r="11">
      <c r="A11" s="9" t="s">
        <v>64</v>
      </c>
      <c r="B11" s="17">
        <v>18.0</v>
      </c>
      <c r="C11" s="17">
        <v>356.0</v>
      </c>
      <c r="D11" s="17">
        <v>72.0</v>
      </c>
      <c r="E11" s="17">
        <v>54.0</v>
      </c>
      <c r="F11" s="8">
        <f t="shared" si="2"/>
        <v>500</v>
      </c>
    </row>
    <row r="12">
      <c r="A12" s="9" t="s">
        <v>67</v>
      </c>
      <c r="B12" s="17">
        <v>38.0</v>
      </c>
      <c r="C12" s="17">
        <v>342.0</v>
      </c>
      <c r="D12" s="17">
        <v>74.0</v>
      </c>
      <c r="E12" s="17">
        <v>46.0</v>
      </c>
      <c r="F12" s="8">
        <f t="shared" si="2"/>
        <v>500</v>
      </c>
    </row>
    <row r="13">
      <c r="A13" s="9" t="s">
        <v>72</v>
      </c>
      <c r="B13" s="17">
        <v>17.0</v>
      </c>
      <c r="C13" s="17">
        <v>355.0</v>
      </c>
      <c r="D13" s="17">
        <v>69.0</v>
      </c>
      <c r="E13" s="17">
        <v>68.0</v>
      </c>
      <c r="F13" s="8">
        <f t="shared" si="2"/>
        <v>509</v>
      </c>
    </row>
    <row r="14">
      <c r="A14" s="9" t="s">
        <v>77</v>
      </c>
      <c r="B14" s="17">
        <v>13.0</v>
      </c>
      <c r="C14" s="17">
        <v>366.0</v>
      </c>
      <c r="D14" s="17">
        <v>57.0</v>
      </c>
      <c r="E14" s="17">
        <v>67.0</v>
      </c>
      <c r="F14" s="8">
        <f t="shared" si="2"/>
        <v>503</v>
      </c>
    </row>
    <row r="15">
      <c r="A15" s="9" t="s">
        <v>79</v>
      </c>
      <c r="B15" s="17">
        <v>27.0</v>
      </c>
      <c r="C15" s="17">
        <v>350.0</v>
      </c>
      <c r="D15" s="17">
        <v>70.0</v>
      </c>
      <c r="E15" s="17">
        <v>70.0</v>
      </c>
      <c r="F15" s="8">
        <f t="shared" si="2"/>
        <v>517</v>
      </c>
    </row>
    <row r="16">
      <c r="A16" s="9" t="s">
        <v>80</v>
      </c>
      <c r="B16" s="17">
        <v>9.0</v>
      </c>
      <c r="C16" s="17">
        <v>350.0</v>
      </c>
      <c r="D16" s="17">
        <v>69.0</v>
      </c>
      <c r="E16" s="17">
        <v>69.0</v>
      </c>
      <c r="F16" s="8">
        <f t="shared" si="2"/>
        <v>497</v>
      </c>
    </row>
    <row r="17">
      <c r="A17" s="9" t="s">
        <v>82</v>
      </c>
      <c r="B17" s="17">
        <v>8.0</v>
      </c>
      <c r="C17" s="17">
        <v>369.0</v>
      </c>
      <c r="D17" s="17">
        <v>65.0</v>
      </c>
      <c r="E17" s="17">
        <v>59.0</v>
      </c>
      <c r="F17" s="8">
        <f t="shared" si="2"/>
        <v>501</v>
      </c>
    </row>
    <row r="18">
      <c r="A18" s="9" t="s">
        <v>83</v>
      </c>
      <c r="B18" s="17">
        <v>8.0</v>
      </c>
      <c r="C18" s="17">
        <v>355.0</v>
      </c>
      <c r="D18" s="17">
        <v>63.0</v>
      </c>
      <c r="E18" s="17">
        <v>74.0</v>
      </c>
      <c r="F18" s="8">
        <f t="shared" si="2"/>
        <v>500</v>
      </c>
    </row>
    <row r="19">
      <c r="A19" s="28" t="s">
        <v>84</v>
      </c>
      <c r="B19" s="29">
        <f t="shared" ref="B19:E19" si="3">AVERAGE(B10:B18)</f>
        <v>19.77777778</v>
      </c>
      <c r="C19" s="29">
        <f t="shared" si="3"/>
        <v>357.2222222</v>
      </c>
      <c r="D19" s="29">
        <f t="shared" si="3"/>
        <v>66.11111111</v>
      </c>
      <c r="E19" s="29">
        <f t="shared" si="3"/>
        <v>60.77777778</v>
      </c>
      <c r="F19" s="29">
        <f t="shared" si="2"/>
        <v>503.8888889</v>
      </c>
    </row>
    <row r="20">
      <c r="A20" s="28" t="s">
        <v>87</v>
      </c>
      <c r="B20" s="29">
        <f t="shared" ref="B20:E20" si="4">B19/$B$8*100</f>
        <v>3.877995643</v>
      </c>
      <c r="C20" s="29">
        <f t="shared" si="4"/>
        <v>70.04357298</v>
      </c>
      <c r="D20" s="29">
        <f t="shared" si="4"/>
        <v>12.96296296</v>
      </c>
      <c r="E20" s="29">
        <f t="shared" si="4"/>
        <v>11.91721133</v>
      </c>
      <c r="F20" s="29">
        <f t="shared" si="2"/>
        <v>98.80174292</v>
      </c>
    </row>
    <row r="21" ht="15.75" customHeight="1">
      <c r="A21" s="28" t="s">
        <v>91</v>
      </c>
      <c r="B21" s="32" t="str">
        <f t="shared" ref="B21:E21" si="5">IF(AND(B20&gt;=B6,B20&lt;=B7),"ดี (Good)",IF(MAX(B6-B20,B20-B7)&lt;=$B$24,"พอใช้ (Fair)","ไม่ดี (Bad)"))</f>
        <v>ดี (Good)</v>
      </c>
      <c r="C21" s="32" t="str">
        <f t="shared" si="5"/>
        <v>ไม่ดี (Bad)</v>
      </c>
      <c r="D21" s="32" t="str">
        <f t="shared" si="5"/>
        <v>ไม่ดี (Bad)</v>
      </c>
      <c r="E21" s="32" t="str">
        <f t="shared" si="5"/>
        <v>พอใช้ (Fair)</v>
      </c>
      <c r="F21" s="32"/>
    </row>
    <row r="22" ht="15.0" customHeight="1">
      <c r="A22" s="34" t="s">
        <v>96</v>
      </c>
      <c r="B22" s="36"/>
      <c r="C22" s="36"/>
      <c r="D22" s="36"/>
      <c r="E22" s="37"/>
      <c r="F22" s="39">
        <f>B20+C20</f>
        <v>73.92156863</v>
      </c>
    </row>
    <row r="23" ht="15.75" customHeight="1"/>
    <row r="24" ht="15.75" customHeight="1">
      <c r="A24" s="19" t="s">
        <v>99</v>
      </c>
      <c r="B24" s="17">
        <v>2.0</v>
      </c>
    </row>
    <row r="25" ht="15.75" customHeight="1"/>
    <row r="26" ht="15.0" customHeight="1">
      <c r="A26" s="13" t="s">
        <v>100</v>
      </c>
    </row>
    <row r="27" ht="15.75" customHeight="1"/>
    <row r="28" ht="15.0" customHeight="1">
      <c r="A28" s="13" t="s">
        <v>101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G1"/>
    <mergeCell ref="A22:E22"/>
    <mergeCell ref="A26:F27"/>
    <mergeCell ref="A28:F29"/>
  </mergeCells>
  <conditionalFormatting sqref="B21:E21">
    <cfRule type="expression" dxfId="0" priority="1">
      <formula>B21="ดี (Good)"</formula>
    </cfRule>
  </conditionalFormatting>
  <conditionalFormatting sqref="B21:E21">
    <cfRule type="expression" dxfId="1" priority="2">
      <formula>B21="พอใช้ (Fair)"</formula>
    </cfRule>
  </conditionalFormatting>
  <conditionalFormatting sqref="B21:E21">
    <cfRule type="expression" dxfId="2" priority="3">
      <formula>B21="ไม่ดี (Bad)"</formula>
    </cfRule>
  </conditionalFormatting>
  <printOptions/>
  <pageMargins bottom="0.5" footer="0.0" header="0.0" left="0.4" right="0.4" top="0.5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2026-08-25T04:42:33Z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